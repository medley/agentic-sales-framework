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rrent State Costs" sheetId="2" state="visible" r:id="rId2"/>
    <sheet xmlns:r="http://schemas.openxmlformats.org/officeDocument/2006/relationships" name="Solution Value" sheetId="3" state="visible" r:id="rId3"/>
    <sheet xmlns:r="http://schemas.openxmlformats.org/officeDocument/2006/relationships" name="Financial Summar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&quot;:1&quot;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008000"/>
    </font>
    <font>
      <b val="1"/>
      <sz val="14"/>
    </font>
    <font>
      <b val="1"/>
      <color rgb="00FFFFFF"/>
      <sz val="12"/>
    </font>
    <font>
      <b val="1"/>
      <color rgb="000000FF"/>
    </font>
    <font>
      <i val="1"/>
      <sz val="9"/>
    </font>
    <font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EFF"/>
        <bgColor rgb="00DDEE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4" fillId="0" borderId="0" pivotButton="0" quotePrefix="0" xfId="0"/>
    <xf numFmtId="0" fontId="5" fillId="2" borderId="0" pivotButton="0" quotePrefix="0" xfId="0"/>
    <xf numFmtId="164" fontId="6" fillId="3" borderId="1" pivotButton="0" quotePrefix="0" xfId="0"/>
    <xf numFmtId="0" fontId="7" fillId="0" borderId="0" pivotButton="0" quotePrefix="0" xfId="0"/>
    <xf numFmtId="164" fontId="2" fillId="0" borderId="2" pivotButton="0" quotePrefix="0" xfId="0"/>
    <xf numFmtId="165" fontId="2" fillId="0" borderId="1" pivotButton="0" quotePrefix="0" xfId="0"/>
    <xf numFmtId="164" fontId="2" fillId="0" borderId="1" pivotButton="0" quotePrefix="0" xfId="0"/>
    <xf numFmtId="166" fontId="2" fillId="0" borderId="1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ROI Executive Summary</t>
        </is>
      </c>
    </row>
    <row r="3">
      <c r="A3" s="2" t="inlineStr">
        <is>
          <t>Investment (Year 1)</t>
        </is>
      </c>
      <c r="B3" s="3">
        <f>'Financial Summary'!B2</f>
        <v/>
      </c>
    </row>
    <row r="4">
      <c r="A4" s="2" t="inlineStr">
        <is>
          <t>Annual Value</t>
        </is>
      </c>
      <c r="B4" s="3">
        <f>'Financial Summary'!B3</f>
        <v/>
      </c>
    </row>
    <row r="5">
      <c r="A5" s="2" t="inlineStr">
        <is>
          <t>Payback Period (months)</t>
        </is>
      </c>
      <c r="B5" s="4">
        <f>'Financial Summary'!B4</f>
        <v/>
      </c>
    </row>
    <row r="6">
      <c r="A6" s="2" t="inlineStr">
        <is>
          <t>3-Year Net Value</t>
        </is>
      </c>
      <c r="B6" s="3">
        <f>'Financial Summary'!B5</f>
        <v/>
      </c>
    </row>
    <row r="7">
      <c r="A7" s="2" t="inlineStr">
        <is>
          <t>3-Year ROI Multiple</t>
        </is>
      </c>
      <c r="B7" s="5">
        <f>'Financial Summary'!B6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6" t="inlineStr">
        <is>
          <t>Current State Annual Costs</t>
        </is>
      </c>
    </row>
    <row r="2">
      <c r="A2" s="7" t="inlineStr">
        <is>
          <t>Cost Category</t>
        </is>
      </c>
      <c r="B2" s="7" t="inlineStr">
        <is>
          <t>Annual Cost</t>
        </is>
      </c>
      <c r="C2" s="7" t="inlineStr">
        <is>
          <t>Source / Notes</t>
        </is>
      </c>
    </row>
    <row r="3">
      <c r="A3" t="inlineStr">
        <is>
          <t>QA Labor Inefficiency</t>
        </is>
      </c>
      <c r="B3" s="8" t="n">
        <v>250000</v>
      </c>
      <c r="C3" s="9" t="inlineStr">
        <is>
          <t>FTE count × avg salary × % time on manual review</t>
        </is>
      </c>
    </row>
    <row r="4">
      <c r="A4" t="inlineStr">
        <is>
          <t>Documentation Error Cost</t>
        </is>
      </c>
      <c r="B4" s="8" t="n">
        <v>81000</v>
      </c>
      <c r="C4" s="9" t="inlineStr">
        <is>
          <t>Error rate × batch volume × rework cost</t>
        </is>
      </c>
    </row>
    <row r="5">
      <c r="A5" t="inlineStr">
        <is>
          <t>Deviation Administrative Burden</t>
        </is>
      </c>
      <c r="B5" s="8" t="n">
        <v>70000</v>
      </c>
      <c r="C5" s="9" t="inlineStr">
        <is>
          <t>Deviation count × hours per deviation × hourly rate</t>
        </is>
      </c>
    </row>
    <row r="6">
      <c r="A6" t="inlineStr">
        <is>
          <t>Audit Preparation Time</t>
        </is>
      </c>
      <c r="B6" s="8" t="n">
        <v>78000</v>
      </c>
      <c r="C6" s="9" t="inlineStr">
        <is>
          <t>Audit count × prep hours × hourly rate</t>
        </is>
      </c>
    </row>
    <row r="7">
      <c r="A7" t="inlineStr">
        <is>
          <t>Compliance Risk Exposure</t>
        </is>
      </c>
      <c r="B7" s="8" t="n">
        <v>200000</v>
      </c>
      <c r="C7" s="9" t="inlineStr">
        <is>
          <t>Potential FDA warning letter, customer fines, shipment holds</t>
        </is>
      </c>
    </row>
    <row r="8">
      <c r="A8" s="2" t="inlineStr">
        <is>
          <t>TOTAL ANNUAL COST</t>
        </is>
      </c>
      <c r="B8" s="10">
        <f>SUM(B3:B7)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0" customWidth="1" min="3" max="3"/>
  </cols>
  <sheetData>
    <row r="1">
      <c r="A1" s="6" t="inlineStr">
        <is>
          <t>Annual Value Creation (Savings)</t>
        </is>
      </c>
    </row>
    <row r="2">
      <c r="A2" s="7" t="inlineStr">
        <is>
          <t>Value Category</t>
        </is>
      </c>
      <c r="B2" s="7" t="inlineStr">
        <is>
          <t>Annual Savings</t>
        </is>
      </c>
      <c r="C2" s="7" t="inlineStr">
        <is>
          <t>Calculation Basis</t>
        </is>
      </c>
    </row>
    <row r="3">
      <c r="A3" t="inlineStr">
        <is>
          <t>QA Efficiency (80% time savings)</t>
        </is>
      </c>
      <c r="B3" s="3">
        <f>'Current State Costs'!B3*0.80</f>
        <v/>
      </c>
      <c r="C3" s="9" t="inlineStr">
        <is>
          <t>80% reduction in QA review time</t>
        </is>
      </c>
    </row>
    <row r="4">
      <c r="A4" t="inlineStr">
        <is>
          <t>Error Elimination (90% reduction)</t>
        </is>
      </c>
      <c r="B4" s="3">
        <f>'Current State Costs'!B4*0.90</f>
        <v/>
      </c>
      <c r="C4" s="9" t="inlineStr">
        <is>
          <t>Eliminate documentation errors via digital capture</t>
        </is>
      </c>
    </row>
    <row r="5">
      <c r="A5" t="inlineStr">
        <is>
          <t>Deviation Reduction (80% reduction)</t>
        </is>
      </c>
      <c r="B5" s="3">
        <f>'Current State Costs'!B5*0.80</f>
        <v/>
      </c>
      <c r="C5" s="9" t="inlineStr">
        <is>
          <t>Alternate BOM eliminates planned deviations</t>
        </is>
      </c>
    </row>
    <row r="6">
      <c r="A6" t="inlineStr">
        <is>
          <t>Audit Efficiency (50% faster prep)</t>
        </is>
      </c>
      <c r="B6" s="3">
        <f>'Current State Costs'!B6*0.50</f>
        <v/>
      </c>
      <c r="C6" s="9" t="inlineStr">
        <is>
          <t>Electronic records = faster audit prep</t>
        </is>
      </c>
    </row>
    <row r="7">
      <c r="A7" t="inlineStr">
        <is>
          <t>Vendor Consolidation</t>
        </is>
      </c>
      <c r="B7" s="8" t="n">
        <v>40000</v>
      </c>
      <c r="C7" s="9" t="inlineStr">
        <is>
          <t>Replace existing QMS/complaints tool (input if applicable)</t>
        </is>
      </c>
    </row>
    <row r="8">
      <c r="A8" s="2" t="inlineStr">
        <is>
          <t>TOTAL ANNUAL VALUE</t>
        </is>
      </c>
      <c r="B8" s="10">
        <f>SUM(B3:B7)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6" t="inlineStr">
        <is>
          <t>Financial Summary &amp; ROI</t>
        </is>
      </c>
    </row>
    <row r="2">
      <c r="A2" s="2" t="inlineStr">
        <is>
          <t>Investment (Year 1)</t>
        </is>
      </c>
      <c r="B2" s="8" t="n">
        <v>220000</v>
      </c>
      <c r="C2" s="9" t="inlineStr">
        <is>
          <t>ACV + implementation services (~$50-75K)</t>
        </is>
      </c>
    </row>
    <row r="3">
      <c r="A3" s="2" t="inlineStr">
        <is>
          <t>Annual Value</t>
        </is>
      </c>
      <c r="B3" s="3">
        <f>'Solution Value'!B7</f>
        <v/>
      </c>
      <c r="C3" s="9" t="inlineStr">
        <is>
          <t>Total annual savings from solution</t>
        </is>
      </c>
    </row>
    <row r="4">
      <c r="A4" s="2" t="inlineStr">
        <is>
          <t>Payback Period (months)</t>
        </is>
      </c>
      <c r="B4" s="11">
        <f>B2/(B3/12)</f>
        <v/>
      </c>
      <c r="C4" s="9" t="inlineStr">
        <is>
          <t>Investment ÷ (Annual Value / 12)</t>
        </is>
      </c>
    </row>
    <row r="5">
      <c r="A5" s="2" t="inlineStr">
        <is>
          <t>3-Year Net Value</t>
        </is>
      </c>
      <c r="B5" s="12">
        <f>(B3*3)-B2</f>
        <v/>
      </c>
      <c r="C5" s="9" t="inlineStr">
        <is>
          <t>(Annual Value × 3) - Investment</t>
        </is>
      </c>
    </row>
    <row r="6">
      <c r="A6" s="2" t="inlineStr">
        <is>
          <t>3-Year ROI Multiple</t>
        </is>
      </c>
      <c r="B6" s="13">
        <f>B5/B2</f>
        <v/>
      </c>
      <c r="C6" s="9" t="inlineStr">
        <is>
          <t>3-Year Net Value ÷ Investment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6" t="inlineStr">
        <is>
          <t>Model Assumptions &amp; Inputs</t>
        </is>
      </c>
    </row>
    <row r="3">
      <c r="A3" s="7" t="inlineStr">
        <is>
          <t>Input Parameter</t>
        </is>
      </c>
      <c r="B3" s="7" t="inlineStr">
        <is>
          <t>Source / Justification</t>
        </is>
      </c>
    </row>
    <row r="4">
      <c r="A4" s="2" t="inlineStr">
        <is>
          <t>Conservative Estimates Used</t>
        </is>
      </c>
      <c r="B4" s="14" t="inlineStr">
        <is>
          <t>All savings estimates are conservative (e.g., 80% vs potential 90%+ savings)</t>
        </is>
      </c>
    </row>
    <row r="5">
      <c r="A5" s="2" t="inlineStr">
        <is>
          <t>QA Time Savings: 80%</t>
        </is>
      </c>
      <c r="B5" s="14" t="inlineStr">
        <is>
          <t>Review-by-exception vs line-by-line review (industry standard: 70-90%)</t>
        </is>
      </c>
    </row>
    <row r="6">
      <c r="A6" s="2" t="inlineStr">
        <is>
          <t>Error Reduction: 90%</t>
        </is>
      </c>
      <c r="B6" s="14" t="inlineStr">
        <is>
          <t>Digital capture eliminates legibility, calculation, missing entry errors</t>
        </is>
      </c>
    </row>
    <row r="7">
      <c r="A7" s="2" t="inlineStr">
        <is>
          <t>Deviation Reduction: 80%</t>
        </is>
      </c>
      <c r="B7" s="14" t="inlineStr">
        <is>
          <t>Alternate BOM capability eliminates planned deviations</t>
        </is>
      </c>
    </row>
    <row r="8">
      <c r="A8" s="2" t="inlineStr">
        <is>
          <t>Audit Efficiency: 50%</t>
        </is>
      </c>
      <c r="B8" s="14" t="inlineStr">
        <is>
          <t>Electronic records reduce audit prep time by half</t>
        </is>
      </c>
    </row>
    <row r="9">
      <c r="A9" s="2" t="inlineStr">
        <is>
          <t>Average QA Reviewer Salary: $100K</t>
        </is>
      </c>
      <c r="B9" s="14" t="inlineStr">
        <is>
          <t>Industry standard for quality assurance roles in manufacturing</t>
        </is>
      </c>
    </row>
    <row r="10">
      <c r="A10" s="2" t="inlineStr">
        <is>
          <t>Implementation Timeline: 4-5 months</t>
        </is>
      </c>
      <c r="B10" s="14" t="inlineStr">
        <is>
          <t>Based on MasterControl average for QMS + EBR implementations</t>
        </is>
      </c>
    </row>
    <row r="11">
      <c r="A11" s="2" t="inlineStr">
        <is>
          <t>No Ongoing Maintenance Costs</t>
        </is>
      </c>
      <c r="B11" s="14" t="inlineStr">
        <is>
          <t>SaaS subscription includes all maintenance, updates, support</t>
        </is>
      </c>
    </row>
    <row r="12">
      <c r="A12" s="2" t="inlineStr">
        <is>
          <t>3-Year Analysis Period</t>
        </is>
      </c>
      <c r="B12" s="14" t="inlineStr">
        <is>
          <t>Standard ROI analysis timeframe for enterprise software</t>
        </is>
      </c>
    </row>
    <row r="15">
      <c r="A15" s="15" t="inlineStr">
        <is>
          <t>COLOR CODING LEGEND:</t>
        </is>
      </c>
    </row>
    <row r="16">
      <c r="A16" s="16" t="inlineStr">
        <is>
          <t>Blue cells</t>
        </is>
      </c>
      <c r="B16" t="inlineStr">
        <is>
          <t>User inputs (editable values)</t>
        </is>
      </c>
    </row>
    <row r="17">
      <c r="A17" t="inlineStr">
        <is>
          <t>Black cells</t>
        </is>
      </c>
      <c r="B17" t="inlineStr">
        <is>
          <t>Formulas (calculated values, do not edit)</t>
        </is>
      </c>
    </row>
    <row r="18">
      <c r="A18" s="17" t="inlineStr">
        <is>
          <t>Green text</t>
        </is>
      </c>
      <c r="B18" t="inlineStr">
        <is>
          <t>Cross-sheet references (pulls from other tabs)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2025-11-15T10:14:40Z</dcterms:created>
  <dcterms:modified xmlns:dcterms="http://purl.org/dc/terms/" xmlns:xsi="http://www.w3.org/2001/XMLSchema-instance" xsi:type="dcterms:W3CDTF">2025-11-15T10:14:40Z</dcterms:modified>
</cp:coreProperties>
</file>